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13_ncr:1_{D1DC849A-72EF-4151-837C-EE52DC70EF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F14" i="1" s="1"/>
  <c r="E13" i="1"/>
  <c r="F13" i="1" s="1"/>
  <c r="I12" i="1"/>
  <c r="E12" i="1" s="1"/>
  <c r="F12" i="1"/>
  <c r="I11" i="1"/>
  <c r="E11" i="1" s="1"/>
  <c r="F11" i="1"/>
  <c r="I10" i="1"/>
  <c r="E10" i="1" s="1"/>
  <c r="F10" i="1"/>
  <c r="I9" i="1"/>
  <c r="E9" i="1" s="1"/>
  <c r="F9" i="1"/>
  <c r="I8" i="1"/>
  <c r="E8" i="1" s="1"/>
  <c r="F8" i="1"/>
  <c r="I7" i="1"/>
  <c r="E7" i="1" s="1"/>
  <c r="F7" i="1"/>
  <c r="I6" i="1"/>
  <c r="E6" i="1" s="1"/>
  <c r="F6" i="1"/>
  <c r="I5" i="1"/>
  <c r="E5" i="1" s="1"/>
  <c r="F5" i="1"/>
  <c r="I4" i="1"/>
  <c r="E4" i="1" s="1"/>
  <c r="F4" i="1"/>
  <c r="I3" i="1"/>
  <c r="E3" i="1" s="1"/>
  <c r="F3" i="1"/>
</calcChain>
</file>

<file path=xl/sharedStrings.xml><?xml version="1.0" encoding="utf-8"?>
<sst xmlns="http://schemas.openxmlformats.org/spreadsheetml/2006/main" count="69" uniqueCount="48">
  <si>
    <t>Part Number</t>
  </si>
  <si>
    <t>Item Description</t>
  </si>
  <si>
    <t>Package Cost</t>
  </si>
  <si>
    <t>Items per pump</t>
  </si>
  <si>
    <t>Cost per pump</t>
  </si>
  <si>
    <t>Cost for single pump</t>
  </si>
  <si>
    <t>Retailer</t>
  </si>
  <si>
    <t>Items per pack</t>
  </si>
  <si>
    <t>Price per item</t>
  </si>
  <si>
    <t>Link</t>
  </si>
  <si>
    <t>Amazon</t>
  </si>
  <si>
    <t>5mm to 5mm Motor Shaft Coupling</t>
  </si>
  <si>
    <t>Items needed</t>
  </si>
  <si>
    <t>Nema 17 Stepper Motor (42×40 mm, 1.8°, 1.5 A, 400 mN·m)</t>
    <phoneticPr fontId="7" type="noConversion"/>
  </si>
  <si>
    <t>6mm x 200mm Stainless Steel Round Rods</t>
    <phoneticPr fontId="7" type="noConversion"/>
  </si>
  <si>
    <t>Sourcing map LM6UU Linear Ball Bearings (6mm)</t>
    <phoneticPr fontId="7" type="noConversion"/>
  </si>
  <si>
    <t>Sourcing map Fully Threaded Rod M5 x 120mm 0.8mm</t>
    <phoneticPr fontId="7" type="noConversion"/>
  </si>
  <si>
    <t>BIGTREETECH SKR Mini E3 V3.0 Control Board</t>
    <phoneticPr fontId="7" type="noConversion"/>
  </si>
  <si>
    <t>PLA filament (~300 g)</t>
    <phoneticPr fontId="8" type="noConversion"/>
  </si>
  <si>
    <t>TPU filament (~1 g)</t>
    <phoneticPr fontId="8" type="noConversion"/>
  </si>
  <si>
    <t>M3x0.5 socket head screws (20mm)</t>
    <phoneticPr fontId="7" type="noConversion"/>
  </si>
  <si>
    <t>M3x0.5 socket head screws (75mm)</t>
    <phoneticPr fontId="7" type="noConversion"/>
  </si>
  <si>
    <t>M3 nut</t>
    <phoneticPr fontId="7" type="noConversion"/>
  </si>
  <si>
    <t>M5 nut</t>
    <phoneticPr fontId="7" type="noConversion"/>
  </si>
  <si>
    <t>https://www.amazon.co.uk/dp/B0753DS9FQ?ref=cm_sw_r_cso_cp_apin_dp_ss_A2FYJX6RYK29B1X3HFEX&amp;social_share=cm_sw_r_cso_cp_apin_dp_ss_A2FYJX6RYK29B1X3HFEX&amp;th=1</t>
    <phoneticPr fontId="7" type="noConversion"/>
  </si>
  <si>
    <t>https://www.amazon.co.uk/dp/B07NSVV22Z?ref=cm_sw_r_cso_cp_apin_dp_ss_JCSD66VGJDY0AG99HF1S&amp;social_share=cm_sw_r_cso_cp_apin_dp_ss_JCSD66VGJDY0AG99HF1S</t>
    <phoneticPr fontId="7" type="noConversion"/>
  </si>
  <si>
    <t>https://www.amazon.co.uk/dp/B0CD7RCZWM?ref=cm_sw_r_cso_cp_apin_dp_D6K843XSY7PMWNDBCP8Z&amp;social_share=cm_sw_r_cso_cp_apin_dp_D6K843XSY7PMWNDBCP8Z&amp;th=1</t>
    <phoneticPr fontId="7" type="noConversion"/>
  </si>
  <si>
    <t>https://www.amazon.co.uk/dp/B07H94WKPW?ref=cm_sw_r_cso_cp_apin_dp_Z5ZEKENFR3E9ESCV2JNW&amp;social_share=cm_sw_r_cso_cp_apin_dp_Z5ZEKENFR3E9ESCV2JNW&amp;th=1</t>
    <phoneticPr fontId="7" type="noConversion"/>
  </si>
  <si>
    <t>https://www.amazon.co.uk/dp/B0DD7TMH78?ref=cm_sw_r_cso_cp_apin_dp_9H06YKNBHNPEJYXSAR44&amp;social_share=cm_sw_r_cso_cp_apin_dp_9H06YKNBHNPEJYXSAR44&amp;th=1</t>
    <phoneticPr fontId="7" type="noConversion"/>
  </si>
  <si>
    <t>https://www.amazon.co.uk/dp/B09LQQP4RF?ref=cm_sw_r_cso_cp_apin_dp_QGER318SKDCYM7A8GBR7&amp;social_share=cm_sw_r_cso_cp_apin_dp_QGER318SKDCYM7A8GBR7&amp;th=1</t>
    <phoneticPr fontId="7" type="noConversion"/>
  </si>
  <si>
    <t>https://www.amazon.co.uk/dp/B0FC1HQZC4?ref=cm_sw_r_cso_cp_apin_dp_2T88E7B0EAP1M5KT5WSS&amp;social_share=cm_sw_r_cso_cp_apin_dp_2T88E7B0EAP1M5KT5WSS&amp;th=1</t>
    <phoneticPr fontId="7" type="noConversion"/>
  </si>
  <si>
    <t>https://www.amazon.co.uk/dp/B08KPBSF3Q?ref=cm_sw_r_cso_cp_apin_dp_3YSC2C87HRNYHACQ8EK8&amp;social_share=cm_sw_r_cso_cp_apin_dp_3YSC2C87HRNYHACQ8EK8&amp;th=1</t>
    <phoneticPr fontId="7" type="noConversion"/>
  </si>
  <si>
    <t>https://www.amazon.co.uk/dp/B0DFYLM9NP?ref=cm_sw_r_cp_ud_dp_WYAK5A4RPCWAZWRZZNT9&amp;ref_=cm_sw_r_cp_ud_dp_WYAK5A4RPCWAZWRZZNT9&amp;social_share=cm_sw_r_cp_ud_dp_WYAK5A4RPCWAZWRZZNT9&amp;th=1</t>
    <phoneticPr fontId="7" type="noConversion"/>
  </si>
  <si>
    <t>https://www.amazon.co.uk/3mm-Hex-Full-Nut-Stainless/dp/B0FFMXSCD5/ref=sr_1_10?crid=2DWUSAWU6SLXN&amp;dib=eyJ2IjoiMSJ9.7ZJnIeD16abUxDEm0q4wsJhdVC8jZ36AfLwJTW8NGCqK1_L4ILAY8mU1gN5_tvYYBiIGTl3fVSp0Av6G7kR_BPLfyg3IGPypUSeUicXcFnLyA2ZqPjoRnb3lJMNVpNBdVEecOhdRnvowZ_GQSGteVFAPUZ8v5BuPiStS9OXlvSgvifl5hWi0n41LmydtrEKSbUP-Y-sQ9Dwdw8EwRJoXhYjjP1Q1yIvzx9x-FssxiR3-61EipogkQ-7CM5F2RZCFllQBzE_Zo5wwugG5OuU2eC6Idoy06Cu2aXdguvWUo8s.UnqdP2dfjI_2v8JA0A1aKIvPoUpN10YWvU445k10dzI&amp;dib_tag=se&amp;keywords=m3%2Bnut&amp;qid=1767744325&amp;s=industrial&amp;sprefix=m3%2Bnut%2Cindustrial%2C72&amp;sr=1-10&amp;th=1_tvYYBiIGTl3fVSp0Av6G7kR_BPLfyg3IGPypUSeUicXcFnLyA2ZqPjoRnb3lJMNVpNBdVEecOhdRnvowZ_GQSGteVFAPUZ8v5BuPiStS9OXlvSgvifl5hWi0n41LmydtrEKSbUP-Y-sQ9Dwdw8EwRJoXhYjjP1Q1yIvzx9x-FssxiR3-61EipogkQ-7CM5F2RZCFllQBzE_Zo5wwugG5OuU2eC6Idoy06Cu2aXdguvWUo8s.UnqdP2dfjI_2v8JA0A1aKIvPoUpN10YWvU445k10dzI&amp;dib_tag=se&amp;keywords=m3%2Bnut&amp;qid=1767744325&amp;s=industrial&amp;sprefix=m3%2Bnut%2Cindustrial%2C72&amp;sr=1-10&amp;th=1</t>
    <phoneticPr fontId="7" type="noConversion"/>
  </si>
  <si>
    <t>0.3kg</t>
    <phoneticPr fontId="7" type="noConversion"/>
  </si>
  <si>
    <t>0.002kg</t>
    <phoneticPr fontId="7" type="noConversion"/>
  </si>
  <si>
    <t>Labware</t>
    <phoneticPr fontId="7" type="noConversion"/>
  </si>
  <si>
    <t>Syringe Pumps&amp; Control Board</t>
    <phoneticPr fontId="7" type="noConversion"/>
  </si>
  <si>
    <t>https://www.amazon.co.uk/dp/B0CMQBB46B?ref=cm_sw_r_cso_cp_apin_dp_ss_PAB6BAY0HKD9VGNT8H3Z&amp;social_share=cm_sw_r_cso_cp_apin_dp_ss_PAB6BAY0HKD9VGNT8H3Z&amp;th=1</t>
  </si>
  <si>
    <t>https://www.amazon.co.uk/dp/B0999CL2F1?ref=cm_sw_r_cso_cp_apin_dp_Y1S958XDAM0TQCB7Q6GB&amp;social_share=cm_sw_r_cso_cp_apin_dp_Y1S958XDAM0TQCB7Q6GB</t>
  </si>
  <si>
    <t>Filter Pipette tips 200uL 96Tips</t>
    <phoneticPr fontId="7" type="noConversion"/>
  </si>
  <si>
    <t>Printer</t>
    <phoneticPr fontId="7" type="noConversion"/>
  </si>
  <si>
    <t>Raise3D Pro 2 3D Printer</t>
    <phoneticPr fontId="7" type="noConversion"/>
  </si>
  <si>
    <t>Single minimum system Price</t>
    <phoneticPr fontId="7" type="noConversion"/>
  </si>
  <si>
    <t>£15/kg</t>
    <phoneticPr fontId="7" type="noConversion"/>
  </si>
  <si>
    <t>£1,400 - £2,600</t>
    <phoneticPr fontId="7" type="noConversion"/>
  </si>
  <si>
    <t>Plastic Syringes, 5pcs 1/2/5/10/20ml</t>
    <phoneticPr fontId="7" type="noConversion"/>
  </si>
  <si>
    <t>Prices from eBay accessed in Jan 2026.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</si>
</sst>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[$£-809]#,##0.00;[Red][$£-809]#,##0.00"/>
    <numFmt numFmtId="182" formatCode="[$£-809]#,##0.00;\-[$£-809]#,##0.00"/>
  </numFmts>
  <fonts count="12" x14ac:knownFonts="1">
    <font>
      <sz val="10"/>
      <color rgb="FF00000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u/>
      <sz val="10"/>
      <color rgb="FF0070C0"/>
      <name val="Arial"/>
      <family val="2"/>
    </font>
    <font>
      <sz val="12"/>
      <color rgb="FF0F1111"/>
      <name val="Arial"/>
      <family val="2"/>
    </font>
    <font>
      <b/>
      <sz val="10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1" fillId="2" borderId="0" xfId="0" applyFont="1" applyFill="1"/>
    <xf numFmtId="0" fontId="0" fillId="0" borderId="0" xfId="0"/>
    <xf numFmtId="0" fontId="0" fillId="0" borderId="0" xfId="0" applyAlignment="1">
      <alignment vertical="center" wrapText="1"/>
    </xf>
    <xf numFmtId="0" fontId="9" fillId="0" borderId="0" xfId="1" applyFont="1"/>
    <xf numFmtId="0" fontId="9" fillId="0" borderId="0" xfId="0" applyFont="1"/>
    <xf numFmtId="0" fontId="2" fillId="0" borderId="0" xfId="0" applyFont="1" applyAlignment="1">
      <alignment horizontal="right"/>
    </xf>
    <xf numFmtId="0" fontId="10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/>
    <xf numFmtId="0" fontId="0" fillId="0" borderId="0" xfId="0" applyBorder="1"/>
    <xf numFmtId="0" fontId="6" fillId="0" borderId="0" xfId="0" applyFont="1"/>
    <xf numFmtId="0" fontId="11" fillId="0" borderId="0" xfId="0" applyFont="1" applyFill="1"/>
    <xf numFmtId="0" fontId="11" fillId="0" borderId="0" xfId="0" applyFont="1" applyFill="1" applyAlignment="1">
      <alignment horizontal="center"/>
    </xf>
    <xf numFmtId="181" fontId="0" fillId="0" borderId="0" xfId="0" applyNumberFormat="1"/>
    <xf numFmtId="181" fontId="11" fillId="0" borderId="0" xfId="0" applyNumberFormat="1" applyFont="1" applyFill="1"/>
    <xf numFmtId="182" fontId="2" fillId="0" borderId="0" xfId="0" applyNumberFormat="1" applyFont="1"/>
    <xf numFmtId="182" fontId="2" fillId="0" borderId="0" xfId="0" applyNumberFormat="1" applyFont="1" applyAlignment="1">
      <alignment horizontal="righ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100Pcs-Female-Thread-Fastener-Silver/dp/B00GYS1SXU/ref=sr_1_3?s=industrial&amp;ie=UTF8&amp;qid=1513713523&amp;sr=1-3&amp;keywords=m3+nuts" TargetMode="External"/><Relationship Id="rId3" Type="http://schemas.openxmlformats.org/officeDocument/2006/relationships/hyperlink" Target="https://www.amazon.co.uk/dp/B0CD7RCZWM?ref=cm_sw_r_cso_cp_apin_dp_D6K843XSY7PMWNDBCP8Z&amp;social_share=cm_sw_r_cso_cp_apin_dp_D6K843XSY7PMWNDBCP8Z&amp;th=1" TargetMode="External"/><Relationship Id="rId7" Type="http://schemas.openxmlformats.org/officeDocument/2006/relationships/hyperlink" Target="https://www.amazon.co.uk/dp/B0DFYLM9NP?ref=cm_sw_r_cp_ud_dp_WYAK5A4RPCWAZWRZZNT9&amp;ref_=cm_sw_r_cp_ud_dp_WYAK5A4RPCWAZWRZZNT9&amp;social_share=cm_sw_r_cp_ud_dp_WYAK5A4RPCWAZWRZZNT9&amp;th=1" TargetMode="External"/><Relationship Id="rId2" Type="http://schemas.openxmlformats.org/officeDocument/2006/relationships/hyperlink" Target="https://www.amazon.co.uk/dp/B07NSVV22Z?ref=cm_sw_r_cso_cp_apin_dp_ss_JCSD66VGJDY0AG99HF1S&amp;social_share=cm_sw_r_cso_cp_apin_dp_ss_JCSD66VGJDY0AG99HF1S" TargetMode="External"/><Relationship Id="rId1" Type="http://schemas.openxmlformats.org/officeDocument/2006/relationships/hyperlink" Target="https://www.amazon.co.uk/dp/B0753DS9FQ?ref=cm_sw_r_cso_cp_apin_dp_ss_A2FYJX6RYK29B1X3HFEX&amp;social_share=cm_sw_r_cso_cp_apin_dp_ss_A2FYJX6RYK29B1X3HFEX&amp;th=1" TargetMode="External"/><Relationship Id="rId6" Type="http://schemas.openxmlformats.org/officeDocument/2006/relationships/hyperlink" Target="https://www.amazon.co.uk/dp/B08KPBSF3Q?ref=cm_sw_r_cso_cp_apin_dp_3YSC2C87HRNYHACQ8EK8&amp;social_share=cm_sw_r_cso_cp_apin_dp_3YSC2C87HRNYHACQ8EK8&amp;th=1" TargetMode="External"/><Relationship Id="rId5" Type="http://schemas.openxmlformats.org/officeDocument/2006/relationships/hyperlink" Target="https://www.amazon.co.uk/dp/B0DD7TMH78?ref=cm_sw_r_cso_cp_apin_dp_9H06YKNBHNPEJYXSAR44&amp;social_share=cm_sw_r_cso_cp_apin_dp_9H06YKNBHNPEJYXSAR44&amp;th=1" TargetMode="External"/><Relationship Id="rId10" Type="http://schemas.openxmlformats.org/officeDocument/2006/relationships/hyperlink" Target="https://www.amazon.co.uk/dp/B0FC1HQZC4?ref=cm_sw_r_cso_cp_apin_dp_2T88E7B0EAP1M5KT5WSS&amp;social_share=cm_sw_r_cso_cp_apin_dp_2T88E7B0EAP1M5KT5WSS&amp;th=1" TargetMode="External"/><Relationship Id="rId4" Type="http://schemas.openxmlformats.org/officeDocument/2006/relationships/hyperlink" Target="https://www.amazon.co.uk/dp/B07H94WKPW?ref=cm_sw_r_cso_cp_apin_dp_Z5ZEKENFR3E9ESCV2JNW&amp;social_share=cm_sw_r_cso_cp_apin_dp_Z5ZEKENFR3E9ESCV2JNW&amp;th=1" TargetMode="External"/><Relationship Id="rId9" Type="http://schemas.openxmlformats.org/officeDocument/2006/relationships/hyperlink" Target="https://www.amazon.co.uk/dp/B09LQQP4RF?ref=cm_sw_r_cso_cp_apin_dp_QGER318SKDCYM7A8GBR7&amp;social_share=cm_sw_r_cso_cp_apin_dp_QGER318SKDCYM7A8GBR7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1"/>
  <sheetViews>
    <sheetView tabSelected="1" zoomScale="70" zoomScaleNormal="70" workbookViewId="0">
      <selection activeCell="E23" sqref="E23"/>
    </sheetView>
  </sheetViews>
  <sheetFormatPr defaultColWidth="14.453125" defaultRowHeight="15.75" customHeight="1" x14ac:dyDescent="0.25"/>
  <cols>
    <col min="1" max="1" width="23.81640625" customWidth="1"/>
    <col min="2" max="2" width="53.54296875" customWidth="1"/>
    <col min="3" max="3" width="14.1796875" customWidth="1"/>
    <col min="4" max="4" width="18.26953125" customWidth="1"/>
    <col min="5" max="5" width="22" customWidth="1"/>
    <col min="6" max="6" width="19.7265625" customWidth="1"/>
    <col min="7" max="7" width="13" customWidth="1"/>
    <col min="8" max="8" width="13.81640625" customWidth="1"/>
  </cols>
  <sheetData>
    <row r="1" spans="1:10" ht="15.75" customHeight="1" x14ac:dyDescent="0.4">
      <c r="A1" s="5" t="s">
        <v>37</v>
      </c>
      <c r="B1" s="6"/>
      <c r="C1" s="18"/>
      <c r="D1" s="18"/>
      <c r="E1" s="17"/>
      <c r="J1" s="1"/>
    </row>
    <row r="2" spans="1:10" ht="13.5" thickBo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15.75" customHeight="1" thickTop="1" x14ac:dyDescent="0.25">
      <c r="A3" s="3">
        <v>1</v>
      </c>
      <c r="B3" s="1" t="s">
        <v>13</v>
      </c>
      <c r="C3" s="21">
        <v>11.97</v>
      </c>
      <c r="D3" s="1">
        <v>1</v>
      </c>
      <c r="E3" s="19">
        <f>I3*D3</f>
        <v>11.97</v>
      </c>
      <c r="F3" s="1">
        <f>C3</f>
        <v>11.97</v>
      </c>
      <c r="G3" s="1" t="s">
        <v>10</v>
      </c>
      <c r="H3" s="1">
        <v>1</v>
      </c>
      <c r="I3" s="1">
        <f>C3/H3</f>
        <v>11.97</v>
      </c>
      <c r="J3" s="8" t="s">
        <v>24</v>
      </c>
    </row>
    <row r="4" spans="1:10" ht="15.75" customHeight="1" x14ac:dyDescent="0.25">
      <c r="A4" s="3">
        <v>2</v>
      </c>
      <c r="B4" s="1" t="s">
        <v>11</v>
      </c>
      <c r="C4" s="21">
        <v>6.99</v>
      </c>
      <c r="D4" s="1">
        <v>1</v>
      </c>
      <c r="E4" s="19">
        <f>I4*D4</f>
        <v>1.7475000000000001</v>
      </c>
      <c r="F4" s="1">
        <f>C4</f>
        <v>6.99</v>
      </c>
      <c r="G4" s="1" t="s">
        <v>10</v>
      </c>
      <c r="H4" s="1">
        <v>4</v>
      </c>
      <c r="I4" s="1">
        <f>C4/H4</f>
        <v>1.7475000000000001</v>
      </c>
      <c r="J4" s="8" t="s">
        <v>25</v>
      </c>
    </row>
    <row r="5" spans="1:10" ht="15.75" customHeight="1" x14ac:dyDescent="0.25">
      <c r="A5" s="3">
        <v>3</v>
      </c>
      <c r="B5" s="1" t="s">
        <v>14</v>
      </c>
      <c r="C5" s="21">
        <v>7.59</v>
      </c>
      <c r="D5" s="1">
        <v>2</v>
      </c>
      <c r="E5" s="19">
        <f>I5*D5</f>
        <v>3.7949999999999999</v>
      </c>
      <c r="F5" s="1">
        <f>C5</f>
        <v>7.59</v>
      </c>
      <c r="G5" s="1" t="s">
        <v>10</v>
      </c>
      <c r="H5" s="1">
        <v>4</v>
      </c>
      <c r="I5" s="1">
        <f>C5/H5</f>
        <v>1.8975</v>
      </c>
      <c r="J5" s="8" t="s">
        <v>26</v>
      </c>
    </row>
    <row r="6" spans="1:10" ht="15.75" customHeight="1" x14ac:dyDescent="0.25">
      <c r="A6" s="3">
        <v>4</v>
      </c>
      <c r="B6" s="1" t="s">
        <v>15</v>
      </c>
      <c r="C6" s="21">
        <v>7.59</v>
      </c>
      <c r="D6" s="1">
        <v>2</v>
      </c>
      <c r="E6" s="19">
        <f>I6*D6</f>
        <v>3.7949999999999999</v>
      </c>
      <c r="F6" s="1">
        <f>C6</f>
        <v>7.59</v>
      </c>
      <c r="G6" s="1" t="s">
        <v>10</v>
      </c>
      <c r="H6" s="1">
        <v>4</v>
      </c>
      <c r="I6" s="1">
        <f>C6/H6</f>
        <v>1.8975</v>
      </c>
      <c r="J6" s="8" t="s">
        <v>27</v>
      </c>
    </row>
    <row r="7" spans="1:10" ht="15.75" customHeight="1" x14ac:dyDescent="0.25">
      <c r="A7" s="3">
        <v>5</v>
      </c>
      <c r="B7" s="1" t="s">
        <v>16</v>
      </c>
      <c r="C7" s="21">
        <v>5.59</v>
      </c>
      <c r="D7" s="1">
        <v>1</v>
      </c>
      <c r="E7" s="19">
        <f>I7*D7</f>
        <v>1.8633333333333333</v>
      </c>
      <c r="F7" s="1">
        <f>C7</f>
        <v>5.59</v>
      </c>
      <c r="G7" s="1" t="s">
        <v>10</v>
      </c>
      <c r="H7" s="1">
        <v>3</v>
      </c>
      <c r="I7" s="1">
        <f>C7/H7</f>
        <v>1.8633333333333333</v>
      </c>
      <c r="J7" s="8" t="s">
        <v>28</v>
      </c>
    </row>
    <row r="8" spans="1:10" ht="15.75" customHeight="1" x14ac:dyDescent="0.25">
      <c r="A8" s="3">
        <v>6</v>
      </c>
      <c r="B8" s="1" t="s">
        <v>23</v>
      </c>
      <c r="C8" s="21">
        <v>4.79</v>
      </c>
      <c r="D8" s="1">
        <v>2</v>
      </c>
      <c r="E8" s="19">
        <f>I8*D8</f>
        <v>0.47899999999999998</v>
      </c>
      <c r="F8" s="1">
        <f>C8</f>
        <v>4.79</v>
      </c>
      <c r="G8" s="1" t="s">
        <v>10</v>
      </c>
      <c r="H8" s="1">
        <v>20</v>
      </c>
      <c r="I8" s="1">
        <f>C8/H8</f>
        <v>0.23949999999999999</v>
      </c>
      <c r="J8" s="8" t="s">
        <v>31</v>
      </c>
    </row>
    <row r="9" spans="1:10" ht="15.75" customHeight="1" x14ac:dyDescent="0.25">
      <c r="A9" s="3">
        <v>7</v>
      </c>
      <c r="B9" s="1" t="s">
        <v>20</v>
      </c>
      <c r="C9" s="21">
        <v>5.99</v>
      </c>
      <c r="D9" s="1">
        <v>8</v>
      </c>
      <c r="E9" s="19">
        <f>I9*D9</f>
        <v>0.39933333333333337</v>
      </c>
      <c r="F9" s="1">
        <f>C9</f>
        <v>5.99</v>
      </c>
      <c r="G9" s="1" t="s">
        <v>10</v>
      </c>
      <c r="H9" s="1">
        <v>120</v>
      </c>
      <c r="I9" s="1">
        <f>C9/H9</f>
        <v>4.9916666666666672E-2</v>
      </c>
      <c r="J9" s="8" t="s">
        <v>30</v>
      </c>
    </row>
    <row r="10" spans="1:10" ht="15.75" customHeight="1" x14ac:dyDescent="0.25">
      <c r="A10" s="3">
        <v>8</v>
      </c>
      <c r="B10" s="1" t="s">
        <v>21</v>
      </c>
      <c r="C10" s="21">
        <v>4.99</v>
      </c>
      <c r="D10" s="1">
        <v>4</v>
      </c>
      <c r="E10" s="19">
        <f>I10*D10</f>
        <v>3.3266666666666667</v>
      </c>
      <c r="F10" s="1">
        <f>C10</f>
        <v>4.99</v>
      </c>
      <c r="G10" s="1" t="s">
        <v>10</v>
      </c>
      <c r="H10" s="1">
        <v>6</v>
      </c>
      <c r="I10" s="1">
        <f>C10/H10</f>
        <v>0.83166666666666667</v>
      </c>
      <c r="J10" s="8" t="s">
        <v>32</v>
      </c>
    </row>
    <row r="11" spans="1:10" ht="15.75" customHeight="1" x14ac:dyDescent="0.25">
      <c r="A11" s="3">
        <v>9</v>
      </c>
      <c r="B11" s="1" t="s">
        <v>22</v>
      </c>
      <c r="C11" s="21">
        <v>3.99</v>
      </c>
      <c r="D11" s="1">
        <v>4</v>
      </c>
      <c r="E11" s="19">
        <f>I11*D11</f>
        <v>0.31920000000000004</v>
      </c>
      <c r="F11" s="1">
        <f>C11</f>
        <v>3.99</v>
      </c>
      <c r="G11" s="1" t="s">
        <v>10</v>
      </c>
      <c r="H11" s="1">
        <v>50</v>
      </c>
      <c r="I11" s="1">
        <f>C11/H11</f>
        <v>7.980000000000001E-2</v>
      </c>
      <c r="J11" s="9" t="s">
        <v>33</v>
      </c>
    </row>
    <row r="12" spans="1:10" ht="15.75" customHeight="1" x14ac:dyDescent="0.25">
      <c r="A12" s="3">
        <v>12</v>
      </c>
      <c r="B12" s="1" t="s">
        <v>17</v>
      </c>
      <c r="C12" s="21">
        <v>48.89</v>
      </c>
      <c r="D12" s="1">
        <v>1</v>
      </c>
      <c r="E12" s="19">
        <f>I12*D12</f>
        <v>48.89</v>
      </c>
      <c r="F12" s="1">
        <f>C12</f>
        <v>48.89</v>
      </c>
      <c r="G12" s="1" t="s">
        <v>10</v>
      </c>
      <c r="H12" s="1">
        <v>1</v>
      </c>
      <c r="I12" s="1">
        <f>C12/H12</f>
        <v>48.89</v>
      </c>
      <c r="J12" s="8" t="s">
        <v>29</v>
      </c>
    </row>
    <row r="13" spans="1:10" ht="15.75" customHeight="1" x14ac:dyDescent="0.25">
      <c r="A13" s="3">
        <v>13</v>
      </c>
      <c r="B13" s="7" t="s">
        <v>18</v>
      </c>
      <c r="C13" s="22" t="s">
        <v>44</v>
      </c>
      <c r="D13" s="10" t="s">
        <v>34</v>
      </c>
      <c r="E13" s="19">
        <f>15*0.3</f>
        <v>4.5</v>
      </c>
      <c r="F13" s="1">
        <f>E13</f>
        <v>4.5</v>
      </c>
      <c r="G13" s="1"/>
      <c r="H13" s="1"/>
      <c r="I13" s="1"/>
      <c r="J13" s="9"/>
    </row>
    <row r="14" spans="1:10" ht="15.75" customHeight="1" x14ac:dyDescent="0.25">
      <c r="A14" s="3">
        <v>14</v>
      </c>
      <c r="B14" s="7" t="s">
        <v>19</v>
      </c>
      <c r="C14" s="22" t="s">
        <v>44</v>
      </c>
      <c r="D14" s="10" t="s">
        <v>35</v>
      </c>
      <c r="E14" s="19">
        <f>15*0.002</f>
        <v>0.03</v>
      </c>
      <c r="F14" s="1">
        <f>E14</f>
        <v>0.03</v>
      </c>
    </row>
    <row r="15" spans="1:10" ht="15.75" customHeight="1" x14ac:dyDescent="0.3">
      <c r="A15" s="3"/>
      <c r="B15" s="7"/>
      <c r="C15" s="18" t="s">
        <v>43</v>
      </c>
      <c r="D15" s="18"/>
      <c r="E15" s="20">
        <f>SUM(E3:E14)</f>
        <v>81.115033333333344</v>
      </c>
      <c r="F15" s="1"/>
    </row>
    <row r="16" spans="1:10" ht="15.75" customHeight="1" x14ac:dyDescent="0.4">
      <c r="A16" s="5" t="s">
        <v>36</v>
      </c>
      <c r="B16" s="6"/>
    </row>
    <row r="17" spans="1:8" ht="13.5" thickBot="1" x14ac:dyDescent="0.35">
      <c r="A17" s="2" t="s">
        <v>0</v>
      </c>
      <c r="B17" s="2" t="s">
        <v>1</v>
      </c>
      <c r="C17" s="2" t="s">
        <v>2</v>
      </c>
      <c r="D17" s="2" t="s">
        <v>12</v>
      </c>
      <c r="E17" s="2" t="s">
        <v>7</v>
      </c>
      <c r="F17" s="2" t="s">
        <v>6</v>
      </c>
      <c r="G17" s="2" t="s">
        <v>9</v>
      </c>
      <c r="H17" s="2"/>
    </row>
    <row r="18" spans="1:8" ht="15.75" customHeight="1" thickTop="1" x14ac:dyDescent="0.25">
      <c r="A18" s="3">
        <v>1</v>
      </c>
      <c r="B18" s="11" t="s">
        <v>40</v>
      </c>
      <c r="C18" s="21">
        <v>12</v>
      </c>
      <c r="D18" s="1">
        <v>1</v>
      </c>
      <c r="E18" s="1">
        <v>1</v>
      </c>
      <c r="F18" s="1" t="s">
        <v>10</v>
      </c>
      <c r="G18" s="9" t="s">
        <v>39</v>
      </c>
      <c r="H18" s="1"/>
    </row>
    <row r="19" spans="1:8" ht="15.75" customHeight="1" x14ac:dyDescent="0.25">
      <c r="A19" s="3">
        <v>2</v>
      </c>
      <c r="B19" s="11" t="s">
        <v>46</v>
      </c>
      <c r="C19" s="21">
        <v>4.49</v>
      </c>
      <c r="D19" s="1">
        <v>1</v>
      </c>
      <c r="E19" s="1">
        <v>5</v>
      </c>
      <c r="F19" s="1" t="s">
        <v>10</v>
      </c>
      <c r="G19" s="9" t="s">
        <v>38</v>
      </c>
      <c r="H19" s="1"/>
    </row>
    <row r="21" spans="1:8" ht="15.75" customHeight="1" x14ac:dyDescent="0.4">
      <c r="A21" s="5" t="s">
        <v>41</v>
      </c>
      <c r="B21" s="6"/>
    </row>
    <row r="22" spans="1:8" ht="15.75" customHeight="1" thickBot="1" x14ac:dyDescent="0.35">
      <c r="A22" s="2" t="s">
        <v>0</v>
      </c>
      <c r="B22" s="2" t="s">
        <v>1</v>
      </c>
      <c r="C22" s="2" t="s">
        <v>2</v>
      </c>
      <c r="D22" s="2"/>
      <c r="E22" s="2"/>
      <c r="F22" s="12"/>
      <c r="G22" s="12"/>
      <c r="H22" s="12"/>
    </row>
    <row r="23" spans="1:8" ht="15.75" customHeight="1" thickTop="1" x14ac:dyDescent="0.25">
      <c r="A23" s="3">
        <v>1</v>
      </c>
      <c r="B23" s="11" t="s">
        <v>42</v>
      </c>
      <c r="C23" s="10" t="s">
        <v>45</v>
      </c>
      <c r="D23" s="1"/>
      <c r="E23" s="16" t="s">
        <v>47</v>
      </c>
      <c r="F23" s="14"/>
      <c r="G23" s="13"/>
      <c r="H23" s="14"/>
    </row>
    <row r="24" spans="1:8" ht="15.75" customHeight="1" x14ac:dyDescent="0.25">
      <c r="A24" s="3"/>
      <c r="B24" s="11"/>
      <c r="C24" s="1"/>
      <c r="D24" s="1"/>
      <c r="E24" s="1"/>
      <c r="F24" s="14"/>
      <c r="G24" s="4"/>
      <c r="H24" s="14"/>
    </row>
    <row r="25" spans="1:8" ht="15.75" customHeight="1" x14ac:dyDescent="0.25">
      <c r="H25" s="15"/>
    </row>
    <row r="26" spans="1:8" ht="15.75" customHeight="1" x14ac:dyDescent="0.25">
      <c r="H26" s="15"/>
    </row>
    <row r="27" spans="1:8" ht="15.75" customHeight="1" x14ac:dyDescent="0.25">
      <c r="E27" s="21"/>
    </row>
    <row r="28" spans="1:8" ht="15.75" customHeight="1" x14ac:dyDescent="0.25">
      <c r="E28" s="21"/>
    </row>
    <row r="29" spans="1:8" ht="12.5" x14ac:dyDescent="0.25"/>
    <row r="31" spans="1:8" ht="12.5" x14ac:dyDescent="0.25"/>
  </sheetData>
  <mergeCells count="5">
    <mergeCell ref="A1:B1"/>
    <mergeCell ref="A16:B16"/>
    <mergeCell ref="A21:B21"/>
    <mergeCell ref="C1:D1"/>
    <mergeCell ref="C15:D15"/>
  </mergeCells>
  <phoneticPr fontId="7" type="noConversion"/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J7" r:id="rId5" xr:uid="{00000000-0004-0000-0000-000004000000}"/>
    <hyperlink ref="J8" r:id="rId6" xr:uid="{00000000-0004-0000-0000-000005000000}"/>
    <hyperlink ref="J10" r:id="rId7" xr:uid="{00000000-0004-0000-0000-000007000000}"/>
    <hyperlink ref="J11" r:id="rId8" display="https://www.amazon.com/100Pcs-Female-Thread-Fastener-Silver/dp/B00GYS1SXU/ref=sr_1_3?s=industrial&amp;ie=UTF8&amp;qid=1513713523&amp;sr=1-3&amp;keywords=m3+nuts" xr:uid="{00000000-0004-0000-0000-000008000000}"/>
    <hyperlink ref="J12" r:id="rId9" xr:uid="{00000000-0004-0000-0000-00000B000000}"/>
    <hyperlink ref="J9" r:id="rId10" xr:uid="{83A0E3FB-F9B8-41FC-877E-D9B6460858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Jiang</cp:lastModifiedBy>
  <dcterms:modified xsi:type="dcterms:W3CDTF">2026-01-07T00:38:39Z</dcterms:modified>
</cp:coreProperties>
</file>